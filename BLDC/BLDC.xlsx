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University\RMX\LAB\FRA271-LAB2-A07-07-19-27\BLDC\"/>
    </mc:Choice>
  </mc:AlternateContent>
  <xr:revisionPtr revIDLastSave="0" documentId="8_{1E67FF59-8993-40A8-8F8F-F7C2D925D4AB}" xr6:coauthVersionLast="47" xr6:coauthVersionMax="47" xr10:uidLastSave="{00000000-0000-0000-0000-000000000000}"/>
  <bookViews>
    <workbookView xWindow="24" yWindow="24" windowWidth="23016" windowHeight="12216" activeTab="2" xr2:uid="{E251CDCC-D422-44E1-85F7-6E7DD2EC9693}"/>
  </bookViews>
  <sheets>
    <sheet name="To-do" sheetId="1" r:id="rId1"/>
    <sheet name="Info" sheetId="2" r:id="rId2"/>
    <sheet name="Analysis" sheetId="4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6" i="4" l="1"/>
  <c r="L16" i="4" l="1"/>
  <c r="L17" i="4"/>
  <c r="L18" i="4"/>
  <c r="L19" i="4"/>
  <c r="L20" i="4"/>
  <c r="L21" i="4"/>
  <c r="L22" i="4"/>
  <c r="L15" i="4"/>
  <c r="K16" i="4"/>
  <c r="K17" i="4"/>
  <c r="K18" i="4"/>
  <c r="K19" i="4"/>
  <c r="K20" i="4"/>
  <c r="K21" i="4"/>
  <c r="K22" i="4"/>
  <c r="K15" i="4"/>
  <c r="J15" i="4"/>
  <c r="J17" i="4"/>
  <c r="J18" i="4"/>
  <c r="J19" i="4"/>
  <c r="J20" i="4"/>
  <c r="J21" i="4"/>
  <c r="J22" i="4"/>
  <c r="I16" i="4" l="1"/>
  <c r="I17" i="4"/>
  <c r="I18" i="4"/>
  <c r="I19" i="4"/>
  <c r="I20" i="4"/>
  <c r="I21" i="4"/>
  <c r="I22" i="4"/>
  <c r="I15" i="4"/>
  <c r="H16" i="4"/>
  <c r="H17" i="4"/>
  <c r="H18" i="4"/>
  <c r="H19" i="4"/>
  <c r="H20" i="4"/>
  <c r="H21" i="4"/>
  <c r="H22" i="4"/>
  <c r="H15" i="4"/>
  <c r="G16" i="4"/>
  <c r="G17" i="4"/>
  <c r="G18" i="4"/>
  <c r="G19" i="4"/>
  <c r="G20" i="4"/>
  <c r="G21" i="4"/>
  <c r="G22" i="4"/>
  <c r="G15" i="4"/>
  <c r="K10" i="4" l="1"/>
  <c r="K9" i="4"/>
  <c r="K8" i="4"/>
  <c r="K7" i="4"/>
  <c r="K6" i="4"/>
  <c r="K5" i="4"/>
  <c r="K4" i="4"/>
  <c r="K3" i="4"/>
  <c r="G10" i="4"/>
  <c r="G9" i="4"/>
  <c r="G8" i="4"/>
  <c r="G7" i="4"/>
  <c r="G6" i="4"/>
  <c r="G5" i="4"/>
  <c r="G4" i="4"/>
  <c r="G3" i="4"/>
  <c r="C5" i="4"/>
  <c r="C6" i="4"/>
  <c r="C7" i="4"/>
  <c r="C8" i="4"/>
  <c r="C9" i="4"/>
  <c r="C10" i="4"/>
  <c r="C4" i="4"/>
  <c r="C3" i="4"/>
</calcChain>
</file>

<file path=xl/sharedStrings.xml><?xml version="1.0" encoding="utf-8"?>
<sst xmlns="http://schemas.openxmlformats.org/spreadsheetml/2006/main" count="90" uniqueCount="57">
  <si>
    <t>✅</t>
  </si>
  <si>
    <r>
      <t>สามารถอธิบาย</t>
    </r>
    <r>
      <rPr>
        <b/>
        <sz val="11"/>
        <color theme="9" tint="0.39997558519241921"/>
        <rFont val="Prompt"/>
      </rPr>
      <t>หลักการและความแตกต่าง</t>
    </r>
    <r>
      <rPr>
        <b/>
        <sz val="11"/>
        <color theme="0"/>
        <rFont val="Prompt"/>
      </rPr>
      <t xml:space="preserve">ระหว่างการใช้ </t>
    </r>
    <r>
      <rPr>
        <b/>
        <sz val="11"/>
        <color theme="9" tint="0.39997558519241921"/>
        <rFont val="Prompt"/>
      </rPr>
      <t>Hall Effect Sensor และ Back EMF Sening</t>
    </r>
    <r>
      <rPr>
        <b/>
        <sz val="11"/>
        <color theme="0"/>
        <rFont val="Prompt"/>
      </rPr>
      <t xml:space="preserve"> ได้</t>
    </r>
  </si>
  <si>
    <r>
      <t>สามารถอธิบาย</t>
    </r>
    <r>
      <rPr>
        <b/>
        <sz val="11"/>
        <color theme="9" tint="0.39997558519241921"/>
        <rFont val="Prompt"/>
      </rPr>
      <t>หลักการ</t>
    </r>
    <r>
      <rPr>
        <b/>
        <sz val="11"/>
        <color theme="0"/>
        <rFont val="Prompt"/>
      </rPr>
      <t>ของการ</t>
    </r>
    <r>
      <rPr>
        <b/>
        <sz val="11"/>
        <color theme="9" tint="0.39997558519241921"/>
        <rFont val="Prompt"/>
      </rPr>
      <t>ขับเคลื่อนแบบ 6-Step</t>
    </r>
    <r>
      <rPr>
        <b/>
        <sz val="11"/>
        <color theme="0"/>
        <rFont val="Prompt"/>
      </rPr>
      <t xml:space="preserve"> และการ</t>
    </r>
    <r>
      <rPr>
        <b/>
        <sz val="11"/>
        <color theme="9" tint="0.39997558519241921"/>
        <rFont val="Prompt"/>
      </rPr>
      <t>ควบคุมแบบ FOC</t>
    </r>
    <r>
      <rPr>
        <b/>
        <sz val="11"/>
        <color theme="0"/>
        <rFont val="Prompt"/>
      </rPr>
      <t xml:space="preserve"> ได้</t>
    </r>
  </si>
  <si>
    <r>
      <t>สามารถเปรียบเทียบ</t>
    </r>
    <r>
      <rPr>
        <b/>
        <sz val="11"/>
        <color theme="9" tint="0.39997558519241921"/>
        <rFont val="Prompt"/>
      </rPr>
      <t>ข้อดี-ข้อเสีย</t>
    </r>
    <r>
      <rPr>
        <b/>
        <sz val="11"/>
        <color theme="0"/>
        <rFont val="Prompt"/>
      </rPr>
      <t xml:space="preserve">ของ </t>
    </r>
    <r>
      <rPr>
        <b/>
        <sz val="11"/>
        <color theme="9" tint="0.39997558519241921"/>
        <rFont val="Prompt"/>
      </rPr>
      <t xml:space="preserve">6-Step </t>
    </r>
    <r>
      <rPr>
        <b/>
        <sz val="11"/>
        <color theme="0"/>
        <rFont val="Prompt"/>
      </rPr>
      <t>กับ</t>
    </r>
    <r>
      <rPr>
        <b/>
        <sz val="11"/>
        <color theme="9" tint="0.39997558519241921"/>
        <rFont val="Prompt"/>
      </rPr>
      <t xml:space="preserve"> FOC </t>
    </r>
    <r>
      <rPr>
        <b/>
        <sz val="11"/>
        <color theme="0"/>
        <rFont val="Prompt"/>
      </rPr>
      <t>ได้อย่างชัดเจน</t>
    </r>
  </si>
  <si>
    <r>
      <t>สามารถแสดงให้เห็นถึงการ</t>
    </r>
    <r>
      <rPr>
        <b/>
        <sz val="11"/>
        <color theme="9" tint="0.39997558519241921"/>
        <rFont val="Prompt"/>
      </rPr>
      <t>ทำงานจริง</t>
    </r>
    <r>
      <rPr>
        <b/>
        <sz val="11"/>
        <color theme="0"/>
        <rFont val="Prompt"/>
      </rPr>
      <t xml:space="preserve">ของมอเตอร์แบบ </t>
    </r>
    <r>
      <rPr>
        <b/>
        <sz val="11"/>
        <color theme="9" tint="0.39997558519241921"/>
        <rFont val="Prompt"/>
      </rPr>
      <t>6-Step โดยใช้ Back EMF Sensing</t>
    </r>
    <r>
      <rPr>
        <b/>
        <sz val="11"/>
        <color theme="0"/>
        <rFont val="Prompt"/>
      </rPr>
      <t xml:space="preserve"> ได้</t>
    </r>
  </si>
  <si>
    <r>
      <t>สามารถ</t>
    </r>
    <r>
      <rPr>
        <b/>
        <sz val="11"/>
        <color theme="9" tint="0.39997558519241921"/>
        <rFont val="Prompt"/>
      </rPr>
      <t>วิเคราะห์และอธิบายลักษณะ</t>
    </r>
    <r>
      <rPr>
        <b/>
        <sz val="11"/>
        <color theme="0"/>
        <rFont val="Prompt"/>
      </rPr>
      <t xml:space="preserve">ของสัญญาณ </t>
    </r>
    <r>
      <rPr>
        <b/>
        <sz val="11"/>
        <color theme="9" tint="0.39997558519241921"/>
        <rFont val="Prompt"/>
      </rPr>
      <t>BEMF แบบ Trapezoidal</t>
    </r>
    <r>
      <rPr>
        <b/>
        <sz val="11"/>
        <color theme="0"/>
        <rFont val="Prompt"/>
      </rPr>
      <t xml:space="preserve"> ได้</t>
    </r>
  </si>
  <si>
    <r>
      <t xml:space="preserve">สามารถอธิบายและแสดงการเกิด </t>
    </r>
    <r>
      <rPr>
        <b/>
        <sz val="11"/>
        <color theme="9" tint="0.39997558519241921"/>
        <rFont val="Prompt"/>
      </rPr>
      <t>Phase Shift</t>
    </r>
    <r>
      <rPr>
        <b/>
        <sz val="11"/>
        <color theme="0"/>
        <rFont val="Prompt"/>
      </rPr>
      <t xml:space="preserve"> ระหว่างสัญญาณ</t>
    </r>
    <r>
      <rPr>
        <b/>
        <sz val="11"/>
        <color theme="9" tint="0.39997558519241921"/>
        <rFont val="Prompt"/>
      </rPr>
      <t xml:space="preserve">แต่ละ Phase ของ BEMF </t>
    </r>
    <r>
      <rPr>
        <b/>
        <sz val="11"/>
        <color theme="0"/>
        <rFont val="Prompt"/>
      </rPr>
      <t>ได้</t>
    </r>
  </si>
  <si>
    <r>
      <t>สามารถระบุและอธิบายการเรียง</t>
    </r>
    <r>
      <rPr>
        <b/>
        <sz val="11"/>
        <color theme="9" tint="0.39997558519241921"/>
        <rFont val="Prompt"/>
      </rPr>
      <t>ลำดับ Phase ตามทิศทางการหมุน</t>
    </r>
    <r>
      <rPr>
        <b/>
        <sz val="11"/>
        <color theme="0"/>
        <rFont val="Prompt"/>
      </rPr>
      <t>ของมอเตอร์ได้</t>
    </r>
  </si>
  <si>
    <r>
      <t>สามารถคำนวณ</t>
    </r>
    <r>
      <rPr>
        <b/>
        <sz val="11"/>
        <color theme="9" tint="0.39997558519241921"/>
        <rFont val="Prompt"/>
      </rPr>
      <t>ความเร็วของมอเตอร์</t>
    </r>
    <r>
      <rPr>
        <b/>
        <sz val="11"/>
        <color theme="0"/>
        <rFont val="Prompt"/>
      </rPr>
      <t xml:space="preserve">จากความถี่ของสัญญาณ </t>
    </r>
    <r>
      <rPr>
        <b/>
        <sz val="11"/>
        <color theme="9" tint="0.39997558519241921"/>
        <rFont val="Prompt"/>
      </rPr>
      <t>BEMF</t>
    </r>
    <r>
      <rPr>
        <b/>
        <sz val="11"/>
        <color theme="0"/>
        <rFont val="Prompt"/>
      </rPr>
      <t xml:space="preserve"> ที่อ่านได้ ได้อย่างถูกต้อง</t>
    </r>
  </si>
  <si>
    <r>
      <t>สามารถอธิบาย</t>
    </r>
    <r>
      <rPr>
        <b/>
        <sz val="11"/>
        <color theme="9" tint="0.39997558519241921"/>
        <rFont val="Prompt"/>
      </rPr>
      <t>ความสัมพันธ์</t>
    </r>
    <r>
      <rPr>
        <b/>
        <sz val="11"/>
        <color theme="0"/>
        <rFont val="Prompt"/>
      </rPr>
      <t>ระหว่าง</t>
    </r>
    <r>
      <rPr>
        <b/>
        <sz val="11"/>
        <color theme="9" tint="0.39997558519241921"/>
        <rFont val="Prompt"/>
      </rPr>
      <t>ความถี่ของสัญญาณ</t>
    </r>
    <r>
      <rPr>
        <b/>
        <sz val="11"/>
        <color theme="0"/>
        <rFont val="Prompt"/>
      </rPr>
      <t>และ</t>
    </r>
    <r>
      <rPr>
        <b/>
        <sz val="11"/>
        <color theme="9" tint="0.39997558519241921"/>
        <rFont val="Prompt"/>
      </rPr>
      <t>ความเร็วของมอเตอร์</t>
    </r>
    <r>
      <rPr>
        <b/>
        <sz val="11"/>
        <color theme="0"/>
        <rFont val="Prompt"/>
      </rPr>
      <t>ได้</t>
    </r>
  </si>
  <si>
    <r>
      <t>สามารถวิเคราะห์</t>
    </r>
    <r>
      <rPr>
        <b/>
        <sz val="11"/>
        <color theme="9" tint="0.39997558519241921"/>
        <rFont val="Prompt"/>
      </rPr>
      <t>สาเหตุ</t>
    </r>
    <r>
      <rPr>
        <b/>
        <sz val="11"/>
        <color theme="0"/>
        <rFont val="Prompt"/>
      </rPr>
      <t>ที่ทำให้เกิดผลการทดลอง</t>
    </r>
    <r>
      <rPr>
        <b/>
        <sz val="11"/>
        <color theme="9" tint="0.39997558519241921"/>
        <rFont val="Prompt"/>
      </rPr>
      <t>ที่ไม่เหมือนกับ Ideal Case ทางทฤษฎี</t>
    </r>
    <r>
      <rPr>
        <b/>
        <sz val="11"/>
        <color theme="0"/>
        <rFont val="Prompt"/>
      </rPr>
      <t>ได้</t>
    </r>
  </si>
  <si>
    <r>
      <t>สามารถแสดงให้เห็นถึง</t>
    </r>
    <r>
      <rPr>
        <b/>
        <sz val="11"/>
        <color theme="9" tint="0.39997558519241921"/>
        <rFont val="Prompt"/>
      </rPr>
      <t xml:space="preserve">การทำซ้ำ </t>
    </r>
    <r>
      <rPr>
        <b/>
        <sz val="11"/>
        <color theme="0"/>
        <rFont val="Prompt"/>
      </rPr>
      <t>และความสมเหตุสมผลของการทดลอง</t>
    </r>
  </si>
  <si>
    <r>
      <t>ความเหมาะสมของการตั้งจุด</t>
    </r>
    <r>
      <rPr>
        <b/>
        <sz val="11"/>
        <color theme="9" tint="0.39997558519241921"/>
        <rFont val="Prompt"/>
      </rPr>
      <t>ประสงค์ สมมติฐาน ตัวแปร และเอกสารและงานวิจัยที่เกี่ยวข้อง</t>
    </r>
  </si>
  <si>
    <r>
      <t>สามารถ</t>
    </r>
    <r>
      <rPr>
        <b/>
        <sz val="11"/>
        <color theme="9" tint="0.39997558519241921"/>
        <rFont val="Prompt"/>
      </rPr>
      <t>อธิบายขั้นตอนการดำเนินงาน</t>
    </r>
    <r>
      <rPr>
        <b/>
        <sz val="11"/>
        <color theme="0"/>
        <rFont val="Prompt"/>
      </rPr>
      <t>ได้อย่างครบถ้วน</t>
    </r>
  </si>
  <si>
    <r>
      <t>สามารถ</t>
    </r>
    <r>
      <rPr>
        <b/>
        <sz val="11"/>
        <color theme="9" tint="0.39997558519241921"/>
        <rFont val="Prompt"/>
      </rPr>
      <t xml:space="preserve">แสดงผลการทดลอง สรุปผลการทดลอง และอภิปรายผล </t>
    </r>
    <r>
      <rPr>
        <b/>
        <sz val="11"/>
        <color theme="0"/>
        <rFont val="Prompt"/>
      </rPr>
      <t>ได้อย่างสมเหตุสมผลและครบถ้วน</t>
    </r>
  </si>
  <si>
    <r>
      <rPr>
        <b/>
        <sz val="11"/>
        <color theme="9" tint="0.39997558519241921"/>
        <rFont val="Prompt"/>
      </rPr>
      <t>ความเหมาะสม</t>
    </r>
    <r>
      <rPr>
        <b/>
        <sz val="11"/>
        <color theme="0"/>
        <rFont val="Prompt"/>
      </rPr>
      <t>ของข้อเสนอแนะและเอกสารอ้างอิง</t>
    </r>
  </si>
  <si>
    <r>
      <t>สามารถอธิบาย</t>
    </r>
    <r>
      <rPr>
        <b/>
        <sz val="11"/>
        <color theme="9" tint="0.39997558519241921"/>
        <rFont val="Prompt"/>
      </rPr>
      <t xml:space="preserve">โปรแกรมหรือวงจรควบคุมที่ใช้ในแต่ละ Mode </t>
    </r>
    <r>
      <rPr>
        <b/>
        <sz val="11"/>
        <color theme="0"/>
        <rFont val="Prompt"/>
      </rPr>
      <t>ได้อย่างครบถ้วน เข้าใจถึง</t>
    </r>
    <r>
      <rPr>
        <b/>
        <sz val="11"/>
        <color theme="9" tint="0.39997558519241921"/>
        <rFont val="Prompt"/>
      </rPr>
      <t>แนวคิดและหลักการทำงาน</t>
    </r>
  </si>
  <si>
    <t>To-do</t>
  </si>
  <si>
    <t>Page</t>
  </si>
  <si>
    <t>เอกสารและงานวิจัยที่เกี่ยวข้อง</t>
  </si>
  <si>
    <t>ผลการทดลอง</t>
  </si>
  <si>
    <t>อภิปรายผล &amp; สรุปผลการทดลอง</t>
  </si>
  <si>
    <t>สรุปผลการทดลอง</t>
  </si>
  <si>
    <t>อภิปรายผล</t>
  </si>
  <si>
    <t>Done (✅)</t>
  </si>
  <si>
    <t>สามารถอธิบายหลักการของสัญญาณ 3-Phase สำหรับการขับเคลื่อนมอเตอร์ได้</t>
  </si>
  <si>
    <t>CW</t>
  </si>
  <si>
    <t>+</t>
  </si>
  <si>
    <t>-</t>
  </si>
  <si>
    <t>CCW</t>
  </si>
  <si>
    <t>Define</t>
  </si>
  <si>
    <t>Unit</t>
  </si>
  <si>
    <t>rpm</t>
  </si>
  <si>
    <t>Reference Speed (RPM)</t>
  </si>
  <si>
    <t>A</t>
  </si>
  <si>
    <t>B</t>
  </si>
  <si>
    <t>C</t>
  </si>
  <si>
    <t>ΔX (ms)</t>
  </si>
  <si>
    <t>1/ΔX (Hz)</t>
  </si>
  <si>
    <t>RMS (V)</t>
  </si>
  <si>
    <t>Mean (V)</t>
  </si>
  <si>
    <t>Pole Pairs</t>
  </si>
  <si>
    <t>A2212 Motor 13T</t>
  </si>
  <si>
    <t>B-Emf constant</t>
  </si>
  <si>
    <t>Vrms/kRPM</t>
  </si>
  <si>
    <t>Rs</t>
  </si>
  <si>
    <t>Ω</t>
  </si>
  <si>
    <t>Ls</t>
  </si>
  <si>
    <t>mH</t>
  </si>
  <si>
    <t>Inertia</t>
  </si>
  <si>
    <t>Friction</t>
  </si>
  <si>
    <t>Max Speed</t>
  </si>
  <si>
    <t>µNms</t>
  </si>
  <si>
    <t>µNms²</t>
  </si>
  <si>
    <t>Calculation</t>
  </si>
  <si>
    <t>Speed (RPM)</t>
  </si>
  <si>
    <t>Error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</si>
</sst>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Prompt"/>
    </font>
    <font>
      <sz val="11"/>
      <color theme="0"/>
      <name val="Prompt"/>
    </font>
    <font>
      <b/>
      <sz val="11"/>
      <color theme="0"/>
      <name val="Prompt"/>
    </font>
    <font>
      <b/>
      <sz val="11"/>
      <color theme="9" tint="0.39997558519241921"/>
      <name val="Prompt"/>
    </font>
    <font>
      <sz val="11"/>
      <name val="Prompt"/>
    </font>
  </fonts>
  <fills count="27">
    <fill>
      <patternFill patternType="none"/>
    </fill>
    <fill>
      <patternFill patternType="gray125"/>
    </fill>
    <fill>
      <patternFill patternType="solid">
        <fgColor theme="7" tint="-0.249977111117893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7A0000"/>
        <bgColor indexed="64"/>
      </patternFill>
    </fill>
    <fill>
      <patternFill patternType="solid">
        <fgColor rgb="FFBA0000"/>
        <bgColor indexed="64"/>
      </patternFill>
    </fill>
    <fill>
      <patternFill patternType="solid">
        <fgColor rgb="FFFF2727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818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2" fontId="3" fillId="8" borderId="1" xfId="0" applyNumberFormat="1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2" fontId="1" fillId="10" borderId="1" xfId="0" applyNumberFormat="1" applyFont="1" applyFill="1" applyBorder="1" applyAlignment="1">
      <alignment horizontal="center" vertical="center"/>
    </xf>
    <xf numFmtId="2" fontId="1" fillId="0" borderId="0" xfId="0" applyNumberFormat="1" applyFont="1" applyAlignment="1">
      <alignment horizontal="center" vertical="center"/>
    </xf>
    <xf numFmtId="0" fontId="1" fillId="0" borderId="0" xfId="0" applyFont="1"/>
    <xf numFmtId="0" fontId="3" fillId="16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2" fontId="3" fillId="21" borderId="1" xfId="0" applyNumberFormat="1" applyFont="1" applyFill="1" applyBorder="1" applyAlignment="1">
      <alignment horizontal="center" vertical="center"/>
    </xf>
    <xf numFmtId="2" fontId="3" fillId="22" borderId="1" xfId="0" applyNumberFormat="1" applyFont="1" applyFill="1" applyBorder="1" applyAlignment="1">
      <alignment horizontal="center" vertical="center"/>
    </xf>
    <xf numFmtId="164" fontId="5" fillId="23" borderId="1" xfId="0" applyNumberFormat="1" applyFont="1" applyFill="1" applyBorder="1" applyAlignment="1">
      <alignment horizontal="center" vertical="center"/>
    </xf>
    <xf numFmtId="164" fontId="5" fillId="24" borderId="1" xfId="0" applyNumberFormat="1" applyFont="1" applyFill="1" applyBorder="1" applyAlignment="1">
      <alignment horizontal="center" vertical="center"/>
    </xf>
    <xf numFmtId="164" fontId="5" fillId="9" borderId="1" xfId="0" applyNumberFormat="1" applyFont="1" applyFill="1" applyBorder="1" applyAlignment="1">
      <alignment horizontal="center" vertical="center"/>
    </xf>
    <xf numFmtId="164" fontId="5" fillId="25" borderId="1" xfId="0" applyNumberFormat="1" applyFont="1" applyFill="1" applyBorder="1" applyAlignment="1">
      <alignment horizontal="center" vertical="center"/>
    </xf>
    <xf numFmtId="164" fontId="5" fillId="26" borderId="1" xfId="0" applyNumberFormat="1" applyFont="1" applyFill="1" applyBorder="1" applyAlignment="1">
      <alignment horizontal="center" vertical="center"/>
    </xf>
    <xf numFmtId="2" fontId="3" fillId="12" borderId="1" xfId="0" applyNumberFormat="1" applyFont="1" applyFill="1" applyBorder="1" applyAlignment="1">
      <alignment horizontal="center" vertical="center" wrapText="1"/>
    </xf>
    <xf numFmtId="2" fontId="3" fillId="13" borderId="1" xfId="0" applyNumberFormat="1" applyFont="1" applyFill="1" applyBorder="1" applyAlignment="1">
      <alignment horizontal="center" vertical="center" wrapText="1"/>
    </xf>
    <xf numFmtId="2" fontId="3" fillId="7" borderId="1" xfId="0" applyNumberFormat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2" fontId="3" fillId="6" borderId="1" xfId="0" applyNumberFormat="1" applyFont="1" applyFill="1" applyBorder="1" applyAlignment="1">
      <alignment horizontal="center" vertical="center"/>
    </xf>
    <xf numFmtId="2" fontId="3" fillId="7" borderId="1" xfId="0" applyNumberFormat="1" applyFont="1" applyFill="1" applyBorder="1" applyAlignment="1">
      <alignment horizontal="center" vertical="center"/>
    </xf>
    <xf numFmtId="2" fontId="3" fillId="15" borderId="1" xfId="0" applyNumberFormat="1" applyFont="1" applyFill="1" applyBorder="1" applyAlignment="1">
      <alignment horizontal="center" vertical="center" wrapText="1"/>
    </xf>
    <xf numFmtId="2" fontId="3" fillId="11" borderId="1" xfId="0" applyNumberFormat="1" applyFont="1" applyFill="1" applyBorder="1" applyAlignment="1">
      <alignment horizontal="center" vertical="center"/>
    </xf>
    <xf numFmtId="2" fontId="3" fillId="18" borderId="1" xfId="0" applyNumberFormat="1" applyFont="1" applyFill="1" applyBorder="1" applyAlignment="1">
      <alignment horizontal="center" vertical="center"/>
    </xf>
    <xf numFmtId="2" fontId="3" fillId="17" borderId="1" xfId="0" applyNumberFormat="1" applyFont="1" applyFill="1" applyBorder="1" applyAlignment="1">
      <alignment horizontal="center" vertical="center"/>
    </xf>
    <xf numFmtId="2" fontId="3" fillId="19" borderId="1" xfId="0" applyNumberFormat="1" applyFont="1" applyFill="1" applyBorder="1" applyAlignment="1">
      <alignment horizontal="center" vertical="center"/>
    </xf>
    <xf numFmtId="2" fontId="3" fillId="20" borderId="1" xfId="0" applyNumberFormat="1" applyFont="1" applyFill="1" applyBorder="1" applyAlignment="1">
      <alignment horizontal="center" vertical="center"/>
    </xf>
    <xf numFmtId="2" fontId="3" fillId="14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8181"/>
      <color rgb="FF87CB3D"/>
      <color rgb="FFE7E200"/>
      <color rgb="FF686600"/>
      <color rgb="FF989102"/>
      <color rgb="FFFFFF47"/>
      <color rgb="FF8F9A00"/>
      <color rgb="FF5F6600"/>
      <color rgb="FFFF7171"/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0</xdr:colOff>
      <xdr:row>1</xdr:row>
      <xdr:rowOff>0</xdr:rowOff>
    </xdr:from>
    <xdr:to>
      <xdr:col>23</xdr:col>
      <xdr:colOff>230818</xdr:colOff>
      <xdr:row>32</xdr:row>
      <xdr:rowOff>17930</xdr:rowOff>
    </xdr:to>
    <xdr:grpSp>
      <xdr:nvGrpSpPr>
        <xdr:cNvPr id="7" name="Group 6">
          <a:extLst>
            <a:ext uri="{FF2B5EF4-FFF2-40B4-BE49-F238E27FC236}">
              <a16:creationId xmlns:a16="http://schemas.microsoft.com/office/drawing/2014/main" id="{20A5F0DB-0603-D981-68B9-22159F61D930}"/>
            </a:ext>
          </a:extLst>
        </xdr:cNvPr>
        <xdr:cNvGrpSpPr/>
      </xdr:nvGrpSpPr>
      <xdr:grpSpPr>
        <a:xfrm>
          <a:off x="8098971" y="250371"/>
          <a:ext cx="7654876" cy="7779445"/>
          <a:chOff x="8773887" y="250371"/>
          <a:chExt cx="7654875" cy="7779445"/>
        </a:xfrm>
      </xdr:grpSpPr>
      <xdr:pic>
        <xdr:nvPicPr>
          <xdr:cNvPr id="5" name="Picture 4">
            <a:extLst>
              <a:ext uri="{FF2B5EF4-FFF2-40B4-BE49-F238E27FC236}">
                <a16:creationId xmlns:a16="http://schemas.microsoft.com/office/drawing/2014/main" id="{F892AEA3-E422-56D7-3D87-4350D555162F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8773887" y="251011"/>
            <a:ext cx="4049485" cy="7778805"/>
          </a:xfrm>
          <a:prstGeom prst="rect">
            <a:avLst/>
          </a:prstGeom>
          <a:ln>
            <a:solidFill>
              <a:sysClr val="windowText" lastClr="000000"/>
            </a:solidFill>
          </a:ln>
        </xdr:spPr>
      </xdr:pic>
      <xdr:pic>
        <xdr:nvPicPr>
          <xdr:cNvPr id="6" name="Picture 5">
            <a:extLst>
              <a:ext uri="{FF2B5EF4-FFF2-40B4-BE49-F238E27FC236}">
                <a16:creationId xmlns:a16="http://schemas.microsoft.com/office/drawing/2014/main" id="{F6DB8F7C-CBFE-2661-C0FB-A850C9313F8C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12823372" y="250371"/>
            <a:ext cx="3605390" cy="3254829"/>
          </a:xfrm>
          <a:prstGeom prst="rect">
            <a:avLst/>
          </a:prstGeom>
          <a:ln>
            <a:solidFill>
              <a:sysClr val="windowText" lastClr="000000"/>
            </a:solidFill>
          </a:ln>
        </xdr:spPr>
      </xdr:pic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B20761-7600-4A88-96CF-2D48C84522F8}">
  <dimension ref="B2:R44"/>
  <sheetViews>
    <sheetView zoomScale="70" zoomScaleNormal="70" workbookViewId="0">
      <selection activeCell="N36" sqref="N36"/>
    </sheetView>
  </sheetViews>
  <sheetFormatPr defaultColWidth="9.77734375" defaultRowHeight="19.95" customHeight="1" x14ac:dyDescent="0.3"/>
  <cols>
    <col min="1" max="16384" width="9.77734375" style="1"/>
  </cols>
  <sheetData>
    <row r="2" spans="2:18" ht="19.95" customHeight="1" x14ac:dyDescent="0.3">
      <c r="B2" s="25" t="s">
        <v>17</v>
      </c>
      <c r="C2" s="26"/>
      <c r="D2" s="26"/>
      <c r="E2" s="26"/>
      <c r="F2" s="26"/>
      <c r="G2" s="26"/>
      <c r="H2" s="28" t="s">
        <v>24</v>
      </c>
      <c r="I2" s="29"/>
      <c r="J2" s="25" t="s">
        <v>18</v>
      </c>
      <c r="K2" s="27"/>
      <c r="N2"/>
      <c r="O2"/>
      <c r="P2"/>
      <c r="Q2"/>
      <c r="R2"/>
    </row>
    <row r="3" spans="2:18" ht="19.95" customHeight="1" x14ac:dyDescent="0.3">
      <c r="B3" s="21" t="s">
        <v>25</v>
      </c>
      <c r="C3" s="21"/>
      <c r="D3" s="21"/>
      <c r="E3" s="21"/>
      <c r="F3" s="21"/>
      <c r="G3" s="21"/>
      <c r="H3" s="22" t="s">
        <v>0</v>
      </c>
      <c r="I3" s="22"/>
      <c r="J3" s="23" t="s">
        <v>19</v>
      </c>
      <c r="K3" s="23"/>
      <c r="N3"/>
      <c r="O3"/>
      <c r="P3"/>
      <c r="Q3"/>
      <c r="R3"/>
    </row>
    <row r="4" spans="2:18" ht="19.95" customHeight="1" x14ac:dyDescent="0.3">
      <c r="B4" s="21"/>
      <c r="C4" s="21"/>
      <c r="D4" s="21"/>
      <c r="E4" s="21"/>
      <c r="F4" s="21"/>
      <c r="G4" s="21"/>
      <c r="H4" s="22"/>
      <c r="I4" s="22"/>
      <c r="J4" s="23"/>
      <c r="K4" s="23"/>
      <c r="N4"/>
      <c r="O4"/>
      <c r="P4"/>
      <c r="Q4"/>
      <c r="R4"/>
    </row>
    <row r="5" spans="2:18" ht="19.95" customHeight="1" x14ac:dyDescent="0.3">
      <c r="B5" s="21" t="s">
        <v>1</v>
      </c>
      <c r="C5" s="21"/>
      <c r="D5" s="21"/>
      <c r="E5" s="21"/>
      <c r="F5" s="21"/>
      <c r="G5" s="21"/>
      <c r="H5" s="22" t="s">
        <v>0</v>
      </c>
      <c r="I5" s="22"/>
      <c r="J5" s="23" t="s">
        <v>19</v>
      </c>
      <c r="K5" s="23"/>
      <c r="N5"/>
      <c r="O5"/>
      <c r="P5"/>
      <c r="Q5"/>
      <c r="R5"/>
    </row>
    <row r="6" spans="2:18" ht="19.95" customHeight="1" x14ac:dyDescent="0.3">
      <c r="B6" s="21"/>
      <c r="C6" s="21"/>
      <c r="D6" s="21"/>
      <c r="E6" s="21"/>
      <c r="F6" s="21"/>
      <c r="G6" s="21"/>
      <c r="H6" s="22"/>
      <c r="I6" s="22"/>
      <c r="J6" s="23"/>
      <c r="K6" s="23"/>
      <c r="N6"/>
      <c r="O6"/>
      <c r="P6"/>
      <c r="Q6"/>
      <c r="R6"/>
    </row>
    <row r="7" spans="2:18" ht="19.95" customHeight="1" x14ac:dyDescent="0.3">
      <c r="B7" s="21" t="s">
        <v>2</v>
      </c>
      <c r="C7" s="21"/>
      <c r="D7" s="21"/>
      <c r="E7" s="21"/>
      <c r="F7" s="21"/>
      <c r="G7" s="21"/>
      <c r="H7" s="22" t="s">
        <v>0</v>
      </c>
      <c r="I7" s="22"/>
      <c r="J7" s="23" t="s">
        <v>19</v>
      </c>
      <c r="K7" s="23"/>
      <c r="N7"/>
      <c r="O7"/>
      <c r="P7"/>
      <c r="Q7"/>
      <c r="R7"/>
    </row>
    <row r="8" spans="2:18" ht="19.95" customHeight="1" x14ac:dyDescent="0.3">
      <c r="B8" s="21"/>
      <c r="C8" s="21"/>
      <c r="D8" s="21"/>
      <c r="E8" s="21"/>
      <c r="F8" s="21"/>
      <c r="G8" s="21"/>
      <c r="H8" s="22"/>
      <c r="I8" s="22"/>
      <c r="J8" s="23"/>
      <c r="K8" s="23"/>
      <c r="N8"/>
      <c r="O8"/>
      <c r="P8"/>
      <c r="Q8"/>
      <c r="R8"/>
    </row>
    <row r="9" spans="2:18" ht="19.95" customHeight="1" x14ac:dyDescent="0.3">
      <c r="B9" s="21" t="s">
        <v>3</v>
      </c>
      <c r="C9" s="21"/>
      <c r="D9" s="21"/>
      <c r="E9" s="21"/>
      <c r="F9" s="21"/>
      <c r="G9" s="21"/>
      <c r="H9" s="22" t="s">
        <v>0</v>
      </c>
      <c r="I9" s="22"/>
      <c r="J9" s="23" t="s">
        <v>19</v>
      </c>
      <c r="K9" s="23"/>
      <c r="N9"/>
      <c r="O9"/>
      <c r="P9"/>
      <c r="Q9"/>
      <c r="R9"/>
    </row>
    <row r="10" spans="2:18" ht="19.95" customHeight="1" x14ac:dyDescent="0.3">
      <c r="B10" s="21"/>
      <c r="C10" s="21"/>
      <c r="D10" s="21"/>
      <c r="E10" s="21"/>
      <c r="F10" s="21"/>
      <c r="G10" s="21"/>
      <c r="H10" s="22"/>
      <c r="I10" s="22"/>
      <c r="J10" s="23"/>
      <c r="K10" s="23"/>
      <c r="N10"/>
      <c r="O10"/>
      <c r="P10"/>
      <c r="Q10"/>
      <c r="R10"/>
    </row>
    <row r="11" spans="2:18" ht="19.95" customHeight="1" x14ac:dyDescent="0.3">
      <c r="B11" s="21" t="s">
        <v>4</v>
      </c>
      <c r="C11" s="21"/>
      <c r="D11" s="21"/>
      <c r="E11" s="21"/>
      <c r="F11" s="21"/>
      <c r="G11" s="21"/>
      <c r="H11" s="22" t="s">
        <v>0</v>
      </c>
      <c r="I11" s="22"/>
      <c r="J11" s="24" t="s">
        <v>20</v>
      </c>
      <c r="K11" s="24"/>
      <c r="N11"/>
      <c r="O11"/>
      <c r="P11"/>
      <c r="Q11"/>
      <c r="R11"/>
    </row>
    <row r="12" spans="2:18" ht="19.95" customHeight="1" x14ac:dyDescent="0.3">
      <c r="B12" s="21"/>
      <c r="C12" s="21"/>
      <c r="D12" s="21"/>
      <c r="E12" s="21"/>
      <c r="F12" s="21"/>
      <c r="G12" s="21"/>
      <c r="H12" s="22"/>
      <c r="I12" s="22"/>
      <c r="J12" s="24"/>
      <c r="K12" s="24"/>
      <c r="N12"/>
      <c r="O12"/>
      <c r="P12"/>
      <c r="Q12"/>
      <c r="R12"/>
    </row>
    <row r="13" spans="2:18" ht="19.95" customHeight="1" x14ac:dyDescent="0.3">
      <c r="B13" s="21" t="s">
        <v>5</v>
      </c>
      <c r="C13" s="21"/>
      <c r="D13" s="21"/>
      <c r="E13" s="21"/>
      <c r="F13" s="21"/>
      <c r="G13" s="21"/>
      <c r="H13" s="22" t="s">
        <v>0</v>
      </c>
      <c r="I13" s="22"/>
      <c r="J13" s="23" t="s">
        <v>21</v>
      </c>
      <c r="K13" s="23"/>
      <c r="N13"/>
      <c r="O13"/>
      <c r="P13"/>
      <c r="Q13"/>
      <c r="R13"/>
    </row>
    <row r="14" spans="2:18" ht="19.95" customHeight="1" x14ac:dyDescent="0.3">
      <c r="B14" s="21"/>
      <c r="C14" s="21"/>
      <c r="D14" s="21"/>
      <c r="E14" s="21"/>
      <c r="F14" s="21"/>
      <c r="G14" s="21"/>
      <c r="H14" s="22"/>
      <c r="I14" s="22"/>
      <c r="J14" s="23"/>
      <c r="K14" s="23"/>
      <c r="N14"/>
      <c r="O14"/>
      <c r="P14"/>
      <c r="Q14"/>
      <c r="R14"/>
    </row>
    <row r="15" spans="2:18" ht="19.95" customHeight="1" x14ac:dyDescent="0.3">
      <c r="B15" s="21" t="s">
        <v>6</v>
      </c>
      <c r="C15" s="21"/>
      <c r="D15" s="21"/>
      <c r="E15" s="21"/>
      <c r="F15" s="21"/>
      <c r="G15" s="21"/>
      <c r="H15" s="22" t="s">
        <v>0</v>
      </c>
      <c r="I15" s="22"/>
      <c r="J15" s="24" t="s">
        <v>22</v>
      </c>
      <c r="K15" s="24"/>
      <c r="N15"/>
      <c r="O15"/>
      <c r="P15"/>
      <c r="Q15"/>
      <c r="R15"/>
    </row>
    <row r="16" spans="2:18" ht="19.95" customHeight="1" x14ac:dyDescent="0.3">
      <c r="B16" s="21"/>
      <c r="C16" s="21"/>
      <c r="D16" s="21"/>
      <c r="E16" s="21"/>
      <c r="F16" s="21"/>
      <c r="G16" s="21"/>
      <c r="H16" s="22"/>
      <c r="I16" s="22"/>
      <c r="J16" s="24"/>
      <c r="K16" s="24"/>
      <c r="N16"/>
      <c r="O16"/>
      <c r="P16"/>
      <c r="Q16"/>
      <c r="R16"/>
    </row>
    <row r="17" spans="2:18" ht="19.95" customHeight="1" x14ac:dyDescent="0.3">
      <c r="B17" s="21" t="s">
        <v>7</v>
      </c>
      <c r="C17" s="21"/>
      <c r="D17" s="21"/>
      <c r="E17" s="21"/>
      <c r="F17" s="21"/>
      <c r="G17" s="21"/>
      <c r="H17" s="22" t="s">
        <v>0</v>
      </c>
      <c r="I17" s="22"/>
      <c r="J17" s="24" t="s">
        <v>22</v>
      </c>
      <c r="K17" s="24"/>
      <c r="N17"/>
      <c r="O17"/>
      <c r="P17"/>
      <c r="Q17"/>
      <c r="R17"/>
    </row>
    <row r="18" spans="2:18" ht="19.95" customHeight="1" x14ac:dyDescent="0.3">
      <c r="B18" s="21"/>
      <c r="C18" s="21"/>
      <c r="D18" s="21"/>
      <c r="E18" s="21"/>
      <c r="F18" s="21"/>
      <c r="G18" s="21"/>
      <c r="H18" s="22"/>
      <c r="I18" s="22"/>
      <c r="J18" s="24"/>
      <c r="K18" s="24"/>
      <c r="N18"/>
      <c r="O18"/>
      <c r="P18"/>
      <c r="Q18"/>
      <c r="R18"/>
    </row>
    <row r="19" spans="2:18" ht="19.95" customHeight="1" x14ac:dyDescent="0.3">
      <c r="B19" s="21" t="s">
        <v>8</v>
      </c>
      <c r="C19" s="21"/>
      <c r="D19" s="21"/>
      <c r="E19" s="21"/>
      <c r="F19" s="21"/>
      <c r="G19" s="21"/>
      <c r="H19" s="22" t="s">
        <v>0</v>
      </c>
      <c r="I19" s="22"/>
      <c r="J19" s="24" t="s">
        <v>23</v>
      </c>
      <c r="K19" s="24"/>
      <c r="N19"/>
      <c r="O19"/>
      <c r="P19"/>
      <c r="Q19"/>
      <c r="R19"/>
    </row>
    <row r="20" spans="2:18" ht="19.95" customHeight="1" x14ac:dyDescent="0.3">
      <c r="B20" s="21"/>
      <c r="C20" s="21"/>
      <c r="D20" s="21"/>
      <c r="E20" s="21"/>
      <c r="F20" s="21"/>
      <c r="G20" s="21"/>
      <c r="H20" s="22"/>
      <c r="I20" s="22"/>
      <c r="J20" s="24"/>
      <c r="K20" s="24"/>
      <c r="N20"/>
      <c r="O20"/>
      <c r="P20"/>
      <c r="Q20"/>
      <c r="R20"/>
    </row>
    <row r="21" spans="2:18" ht="19.95" customHeight="1" x14ac:dyDescent="0.3">
      <c r="B21" s="21" t="s">
        <v>9</v>
      </c>
      <c r="C21" s="21"/>
      <c r="D21" s="21"/>
      <c r="E21" s="21"/>
      <c r="F21" s="21"/>
      <c r="G21" s="21"/>
      <c r="H21" s="22" t="s">
        <v>0</v>
      </c>
      <c r="I21" s="22"/>
      <c r="J21" s="23" t="s">
        <v>19</v>
      </c>
      <c r="K21" s="23"/>
      <c r="N21"/>
      <c r="O21"/>
      <c r="P21"/>
      <c r="Q21"/>
      <c r="R21"/>
    </row>
    <row r="22" spans="2:18" ht="19.95" customHeight="1" x14ac:dyDescent="0.3">
      <c r="B22" s="21"/>
      <c r="C22" s="21"/>
      <c r="D22" s="21"/>
      <c r="E22" s="21"/>
      <c r="F22" s="21"/>
      <c r="G22" s="21"/>
      <c r="H22" s="22"/>
      <c r="I22" s="22"/>
      <c r="J22" s="23"/>
      <c r="K22" s="23"/>
      <c r="N22"/>
      <c r="O22"/>
      <c r="P22"/>
      <c r="Q22"/>
      <c r="R22"/>
    </row>
    <row r="23" spans="2:18" ht="19.95" customHeight="1" x14ac:dyDescent="0.3">
      <c r="B23" s="21" t="s">
        <v>10</v>
      </c>
      <c r="C23" s="21"/>
      <c r="D23" s="21"/>
      <c r="E23" s="21"/>
      <c r="F23" s="21"/>
      <c r="G23" s="21"/>
      <c r="H23" s="22" t="s">
        <v>0</v>
      </c>
      <c r="I23" s="22"/>
      <c r="J23" s="24" t="s">
        <v>23</v>
      </c>
      <c r="K23" s="24"/>
      <c r="N23"/>
      <c r="O23"/>
      <c r="P23"/>
      <c r="Q23"/>
      <c r="R23"/>
    </row>
    <row r="24" spans="2:18" ht="19.95" customHeight="1" x14ac:dyDescent="0.3">
      <c r="B24" s="21"/>
      <c r="C24" s="21"/>
      <c r="D24" s="21"/>
      <c r="E24" s="21"/>
      <c r="F24" s="21"/>
      <c r="G24" s="21"/>
      <c r="H24" s="22"/>
      <c r="I24" s="22"/>
      <c r="J24" s="24"/>
      <c r="K24" s="24"/>
    </row>
    <row r="25" spans="2:18" ht="19.95" customHeight="1" x14ac:dyDescent="0.3">
      <c r="B25" s="21" t="s">
        <v>11</v>
      </c>
      <c r="C25" s="21"/>
      <c r="D25" s="21"/>
      <c r="E25" s="21"/>
      <c r="F25" s="21"/>
      <c r="G25" s="21"/>
      <c r="H25" s="22"/>
      <c r="I25" s="22"/>
      <c r="J25" s="24"/>
      <c r="K25" s="24"/>
    </row>
    <row r="26" spans="2:18" ht="19.95" customHeight="1" x14ac:dyDescent="0.3">
      <c r="B26" s="21"/>
      <c r="C26" s="21"/>
      <c r="D26" s="21"/>
      <c r="E26" s="21"/>
      <c r="F26" s="21"/>
      <c r="G26" s="21"/>
      <c r="H26" s="22"/>
      <c r="I26" s="22"/>
      <c r="J26" s="24"/>
      <c r="K26" s="24"/>
    </row>
    <row r="27" spans="2:18" ht="19.95" customHeight="1" x14ac:dyDescent="0.3">
      <c r="B27" s="21" t="s">
        <v>12</v>
      </c>
      <c r="C27" s="21"/>
      <c r="D27" s="21"/>
      <c r="E27" s="21"/>
      <c r="F27" s="21"/>
      <c r="G27" s="21"/>
      <c r="H27" s="22"/>
      <c r="I27" s="22"/>
      <c r="J27" s="24"/>
      <c r="K27" s="24"/>
    </row>
    <row r="28" spans="2:18" ht="19.95" customHeight="1" x14ac:dyDescent="0.3">
      <c r="B28" s="21"/>
      <c r="C28" s="21"/>
      <c r="D28" s="21"/>
      <c r="E28" s="21"/>
      <c r="F28" s="21"/>
      <c r="G28" s="21"/>
      <c r="H28" s="22"/>
      <c r="I28" s="22"/>
      <c r="J28" s="24"/>
      <c r="K28" s="24"/>
    </row>
    <row r="29" spans="2:18" ht="19.95" customHeight="1" x14ac:dyDescent="0.3">
      <c r="B29" s="21" t="s">
        <v>13</v>
      </c>
      <c r="C29" s="21"/>
      <c r="D29" s="21"/>
      <c r="E29" s="21"/>
      <c r="F29" s="21"/>
      <c r="G29" s="21"/>
      <c r="H29" s="22"/>
      <c r="I29" s="22"/>
      <c r="J29" s="24"/>
      <c r="K29" s="24"/>
    </row>
    <row r="30" spans="2:18" ht="19.95" customHeight="1" x14ac:dyDescent="0.3">
      <c r="B30" s="21"/>
      <c r="C30" s="21"/>
      <c r="D30" s="21"/>
      <c r="E30" s="21"/>
      <c r="F30" s="21"/>
      <c r="G30" s="21"/>
      <c r="H30" s="22"/>
      <c r="I30" s="22"/>
      <c r="J30" s="24"/>
      <c r="K30" s="24"/>
    </row>
    <row r="31" spans="2:18" ht="19.95" customHeight="1" x14ac:dyDescent="0.3">
      <c r="B31" s="21" t="s">
        <v>14</v>
      </c>
      <c r="C31" s="21"/>
      <c r="D31" s="21"/>
      <c r="E31" s="21"/>
      <c r="F31" s="21"/>
      <c r="G31" s="21"/>
      <c r="H31" s="22"/>
      <c r="I31" s="22"/>
      <c r="J31" s="24"/>
      <c r="K31" s="24"/>
    </row>
    <row r="32" spans="2:18" ht="19.95" customHeight="1" x14ac:dyDescent="0.3">
      <c r="B32" s="21"/>
      <c r="C32" s="21"/>
      <c r="D32" s="21"/>
      <c r="E32" s="21"/>
      <c r="F32" s="21"/>
      <c r="G32" s="21"/>
      <c r="H32" s="22"/>
      <c r="I32" s="22"/>
      <c r="J32" s="24"/>
      <c r="K32" s="24"/>
    </row>
    <row r="33" spans="2:11" ht="19.95" customHeight="1" x14ac:dyDescent="0.3">
      <c r="B33" s="21" t="s">
        <v>15</v>
      </c>
      <c r="C33" s="21"/>
      <c r="D33" s="21"/>
      <c r="E33" s="21"/>
      <c r="F33" s="21"/>
      <c r="G33" s="21"/>
      <c r="H33" s="22"/>
      <c r="I33" s="22"/>
      <c r="J33" s="24"/>
      <c r="K33" s="24"/>
    </row>
    <row r="34" spans="2:11" ht="19.95" customHeight="1" x14ac:dyDescent="0.3">
      <c r="B34" s="21"/>
      <c r="C34" s="21"/>
      <c r="D34" s="21"/>
      <c r="E34" s="21"/>
      <c r="F34" s="21"/>
      <c r="G34" s="21"/>
      <c r="H34" s="22"/>
      <c r="I34" s="22"/>
      <c r="J34" s="24"/>
      <c r="K34" s="24"/>
    </row>
    <row r="35" spans="2:11" ht="19.95" customHeight="1" x14ac:dyDescent="0.3">
      <c r="B35" s="21" t="s">
        <v>16</v>
      </c>
      <c r="C35" s="21"/>
      <c r="D35" s="21"/>
      <c r="E35" s="21"/>
      <c r="F35" s="21"/>
      <c r="G35" s="21"/>
      <c r="H35" s="22"/>
      <c r="I35" s="22"/>
      <c r="J35" s="24"/>
      <c r="K35" s="24"/>
    </row>
    <row r="36" spans="2:11" ht="19.95" customHeight="1" x14ac:dyDescent="0.3">
      <c r="B36" s="21"/>
      <c r="C36" s="21"/>
      <c r="D36" s="21"/>
      <c r="E36" s="21"/>
      <c r="F36" s="21"/>
      <c r="G36" s="21"/>
      <c r="H36" s="22"/>
      <c r="I36" s="22"/>
      <c r="J36" s="24"/>
      <c r="K36" s="24"/>
    </row>
    <row r="37" spans="2:11" ht="19.95" customHeight="1" x14ac:dyDescent="0.3">
      <c r="C37" s="2"/>
      <c r="D37" s="2"/>
      <c r="E37" s="2"/>
    </row>
    <row r="38" spans="2:11" ht="19.95" customHeight="1" x14ac:dyDescent="0.3">
      <c r="B38" s="2"/>
      <c r="C38" s="2"/>
      <c r="D38" s="2"/>
      <c r="E38" s="2"/>
    </row>
    <row r="44" spans="2:11" ht="19.95" customHeight="1" x14ac:dyDescent="0.3">
      <c r="C44" s="3"/>
      <c r="D44" s="3"/>
      <c r="E44" s="3"/>
    </row>
  </sheetData>
  <mergeCells count="54">
    <mergeCell ref="H21:I22"/>
    <mergeCell ref="H23:I24"/>
    <mergeCell ref="H25:I26"/>
    <mergeCell ref="H27:I28"/>
    <mergeCell ref="H29:I30"/>
    <mergeCell ref="H31:I32"/>
    <mergeCell ref="J27:K28"/>
    <mergeCell ref="J29:K30"/>
    <mergeCell ref="J31:K32"/>
    <mergeCell ref="J33:K34"/>
    <mergeCell ref="J35:K36"/>
    <mergeCell ref="H2:I2"/>
    <mergeCell ref="H3:I4"/>
    <mergeCell ref="H5:I6"/>
    <mergeCell ref="H9:I10"/>
    <mergeCell ref="H7:I8"/>
    <mergeCell ref="J15:K16"/>
    <mergeCell ref="J17:K18"/>
    <mergeCell ref="J19:K20"/>
    <mergeCell ref="J21:K22"/>
    <mergeCell ref="J23:K24"/>
    <mergeCell ref="J25:K26"/>
    <mergeCell ref="H33:I34"/>
    <mergeCell ref="H35:I36"/>
    <mergeCell ref="H13:I14"/>
    <mergeCell ref="H15:I16"/>
    <mergeCell ref="B2:G2"/>
    <mergeCell ref="J2:K2"/>
    <mergeCell ref="J3:K4"/>
    <mergeCell ref="J5:K6"/>
    <mergeCell ref="J7:K8"/>
    <mergeCell ref="B3:G4"/>
    <mergeCell ref="B5:G6"/>
    <mergeCell ref="B7:G8"/>
    <mergeCell ref="H17:I18"/>
    <mergeCell ref="H19:I20"/>
    <mergeCell ref="J9:K10"/>
    <mergeCell ref="J11:K12"/>
    <mergeCell ref="J13:K14"/>
    <mergeCell ref="H11:I12"/>
    <mergeCell ref="B9:G10"/>
    <mergeCell ref="B11:G12"/>
    <mergeCell ref="B33:G34"/>
    <mergeCell ref="B35:G36"/>
    <mergeCell ref="B15:G16"/>
    <mergeCell ref="B17:G18"/>
    <mergeCell ref="B19:G20"/>
    <mergeCell ref="B31:G32"/>
    <mergeCell ref="B29:G30"/>
    <mergeCell ref="B13:G14"/>
    <mergeCell ref="B21:G22"/>
    <mergeCell ref="B23:G24"/>
    <mergeCell ref="B25:G26"/>
    <mergeCell ref="B27:G28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9F5874-C4E4-4C97-BB46-0716A2B861BF}">
  <dimension ref="A1:D26"/>
  <sheetViews>
    <sheetView zoomScale="115" zoomScaleNormal="115" workbookViewId="0">
      <selection activeCell="B3" sqref="B3"/>
    </sheetView>
  </sheetViews>
  <sheetFormatPr defaultColWidth="10.77734375" defaultRowHeight="19.95" customHeight="1" x14ac:dyDescent="0.55000000000000004"/>
  <cols>
    <col min="1" max="1" width="25.77734375" style="7" customWidth="1"/>
    <col min="2" max="2" width="12.77734375" style="1" customWidth="1"/>
    <col min="3" max="3" width="12.77734375" style="7" customWidth="1"/>
    <col min="4" max="16384" width="10.77734375" style="8"/>
  </cols>
  <sheetData>
    <row r="1" spans="1:4" ht="19.95" customHeight="1" x14ac:dyDescent="0.55000000000000004">
      <c r="A1" s="30" t="s">
        <v>30</v>
      </c>
      <c r="B1" s="30"/>
      <c r="C1" s="30"/>
    </row>
    <row r="2" spans="1:4" ht="19.95" customHeight="1" x14ac:dyDescent="0.55000000000000004">
      <c r="A2" s="31" t="s">
        <v>42</v>
      </c>
      <c r="B2" s="31"/>
      <c r="C2" s="4" t="s">
        <v>31</v>
      </c>
    </row>
    <row r="3" spans="1:4" ht="19.95" customHeight="1" x14ac:dyDescent="0.55000000000000004">
      <c r="A3" s="4" t="s">
        <v>26</v>
      </c>
      <c r="B3" s="5" t="s">
        <v>27</v>
      </c>
      <c r="C3" s="6" t="s">
        <v>32</v>
      </c>
    </row>
    <row r="4" spans="1:4" ht="19.95" customHeight="1" x14ac:dyDescent="0.55000000000000004">
      <c r="A4" s="4" t="s">
        <v>29</v>
      </c>
      <c r="B4" s="5" t="s">
        <v>28</v>
      </c>
      <c r="C4" s="6" t="s">
        <v>32</v>
      </c>
    </row>
    <row r="5" spans="1:4" ht="19.95" customHeight="1" x14ac:dyDescent="0.55000000000000004">
      <c r="A5" s="4" t="s">
        <v>41</v>
      </c>
      <c r="B5" s="5">
        <v>7</v>
      </c>
      <c r="C5" s="6"/>
    </row>
    <row r="6" spans="1:4" ht="19.95" customHeight="1" x14ac:dyDescent="0.55000000000000004">
      <c r="A6" s="4" t="s">
        <v>45</v>
      </c>
      <c r="B6" s="5">
        <v>0.1</v>
      </c>
      <c r="C6" s="6" t="s">
        <v>46</v>
      </c>
      <c r="D6"/>
    </row>
    <row r="7" spans="1:4" ht="19.95" customHeight="1" x14ac:dyDescent="0.55000000000000004">
      <c r="A7" s="4" t="s">
        <v>47</v>
      </c>
      <c r="B7" s="5">
        <v>0.02</v>
      </c>
      <c r="C7" s="6" t="s">
        <v>48</v>
      </c>
      <c r="D7"/>
    </row>
    <row r="8" spans="1:4" ht="19.95" customHeight="1" x14ac:dyDescent="0.55000000000000004">
      <c r="A8" s="4" t="s">
        <v>43</v>
      </c>
      <c r="B8" s="5">
        <v>0.82199999999999995</v>
      </c>
      <c r="C8" s="6" t="s">
        <v>44</v>
      </c>
      <c r="D8"/>
    </row>
    <row r="9" spans="1:4" ht="19.95" customHeight="1" x14ac:dyDescent="0.55000000000000004">
      <c r="A9" s="4" t="s">
        <v>49</v>
      </c>
      <c r="B9" s="5">
        <v>0.55000000000000004</v>
      </c>
      <c r="C9" s="6" t="s">
        <v>53</v>
      </c>
      <c r="D9"/>
    </row>
    <row r="10" spans="1:4" ht="19.95" customHeight="1" x14ac:dyDescent="0.55000000000000004">
      <c r="A10" s="4" t="s">
        <v>50</v>
      </c>
      <c r="B10" s="5">
        <v>0.49</v>
      </c>
      <c r="C10" s="6" t="s">
        <v>52</v>
      </c>
      <c r="D10"/>
    </row>
    <row r="11" spans="1:4" ht="19.95" customHeight="1" x14ac:dyDescent="0.55000000000000004">
      <c r="A11" s="4" t="s">
        <v>51</v>
      </c>
      <c r="B11" s="5">
        <v>9864</v>
      </c>
      <c r="C11" s="6" t="s">
        <v>32</v>
      </c>
      <c r="D11"/>
    </row>
    <row r="12" spans="1:4" ht="19.95" customHeight="1" x14ac:dyDescent="0.55000000000000004">
      <c r="A12"/>
      <c r="B12"/>
      <c r="C12"/>
      <c r="D12"/>
    </row>
    <row r="13" spans="1:4" ht="19.95" customHeight="1" x14ac:dyDescent="0.55000000000000004">
      <c r="A13"/>
      <c r="B13"/>
      <c r="C13"/>
      <c r="D13"/>
    </row>
    <row r="14" spans="1:4" ht="19.95" customHeight="1" x14ac:dyDescent="0.55000000000000004">
      <c r="A14"/>
      <c r="B14"/>
      <c r="C14"/>
      <c r="D14"/>
    </row>
    <row r="15" spans="1:4" ht="19.95" customHeight="1" x14ac:dyDescent="0.55000000000000004">
      <c r="A15"/>
      <c r="B15"/>
      <c r="C15"/>
      <c r="D15"/>
    </row>
    <row r="16" spans="1:4" ht="19.95" customHeight="1" x14ac:dyDescent="0.55000000000000004">
      <c r="A16"/>
      <c r="B16"/>
      <c r="C16"/>
      <c r="D16"/>
    </row>
    <row r="17" spans="1:4" ht="19.95" customHeight="1" x14ac:dyDescent="0.55000000000000004">
      <c r="A17"/>
      <c r="B17"/>
      <c r="C17"/>
      <c r="D17"/>
    </row>
    <row r="18" spans="1:4" ht="19.95" customHeight="1" x14ac:dyDescent="0.55000000000000004">
      <c r="A18"/>
      <c r="B18"/>
      <c r="C18"/>
      <c r="D18"/>
    </row>
    <row r="19" spans="1:4" ht="19.95" customHeight="1" x14ac:dyDescent="0.55000000000000004">
      <c r="A19"/>
      <c r="B19"/>
      <c r="C19"/>
      <c r="D19"/>
    </row>
    <row r="20" spans="1:4" ht="19.95" customHeight="1" x14ac:dyDescent="0.55000000000000004">
      <c r="A20"/>
      <c r="B20"/>
      <c r="C20"/>
      <c r="D20"/>
    </row>
    <row r="21" spans="1:4" ht="19.95" customHeight="1" x14ac:dyDescent="0.55000000000000004">
      <c r="A21"/>
      <c r="B21"/>
      <c r="C21"/>
      <c r="D21"/>
    </row>
    <row r="22" spans="1:4" ht="19.95" customHeight="1" x14ac:dyDescent="0.55000000000000004">
      <c r="A22"/>
      <c r="B22"/>
      <c r="C22"/>
      <c r="D22"/>
    </row>
    <row r="23" spans="1:4" ht="19.95" customHeight="1" x14ac:dyDescent="0.55000000000000004">
      <c r="A23"/>
      <c r="B23"/>
      <c r="C23"/>
      <c r="D23"/>
    </row>
    <row r="24" spans="1:4" ht="19.95" customHeight="1" x14ac:dyDescent="0.55000000000000004">
      <c r="A24"/>
      <c r="B24"/>
      <c r="C24"/>
      <c r="D24"/>
    </row>
    <row r="25" spans="1:4" ht="19.95" customHeight="1" x14ac:dyDescent="0.55000000000000004">
      <c r="A25"/>
      <c r="B25"/>
      <c r="C25"/>
    </row>
    <row r="26" spans="1:4" ht="19.95" customHeight="1" x14ac:dyDescent="0.55000000000000004">
      <c r="A26"/>
      <c r="B26"/>
      <c r="C26"/>
    </row>
  </sheetData>
  <mergeCells count="2">
    <mergeCell ref="A1:C1"/>
    <mergeCell ref="A2:B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AD6AE7-B7C9-4A2C-970A-8F0BD20B484C}">
  <dimension ref="A1:R30"/>
  <sheetViews>
    <sheetView tabSelected="1" zoomScale="75" zoomScaleNormal="75" workbookViewId="0">
      <selection activeCell="H16" sqref="H16"/>
    </sheetView>
  </sheetViews>
  <sheetFormatPr defaultColWidth="10.77734375" defaultRowHeight="19.95" customHeight="1" x14ac:dyDescent="0.3"/>
  <cols>
    <col min="1" max="1" width="20.77734375" style="7" customWidth="1"/>
    <col min="2" max="13" width="20.77734375" style="1" customWidth="1"/>
    <col min="14" max="16384" width="10.77734375" style="1"/>
  </cols>
  <sheetData>
    <row r="1" spans="1:18" ht="19.95" customHeight="1" x14ac:dyDescent="0.3">
      <c r="A1" s="32" t="s">
        <v>33</v>
      </c>
      <c r="B1" s="33" t="s">
        <v>34</v>
      </c>
      <c r="C1" s="33"/>
      <c r="D1" s="33"/>
      <c r="E1" s="33"/>
      <c r="F1" s="38" t="s">
        <v>35</v>
      </c>
      <c r="G1" s="38"/>
      <c r="H1" s="38"/>
      <c r="I1" s="38"/>
      <c r="J1" s="30" t="s">
        <v>36</v>
      </c>
      <c r="K1" s="30"/>
      <c r="L1" s="30"/>
      <c r="M1" s="30"/>
    </row>
    <row r="2" spans="1:18" ht="19.95" customHeight="1" x14ac:dyDescent="0.3">
      <c r="A2" s="32"/>
      <c r="B2" s="18" t="s">
        <v>37</v>
      </c>
      <c r="C2" s="18" t="s">
        <v>38</v>
      </c>
      <c r="D2" s="18" t="s">
        <v>39</v>
      </c>
      <c r="E2" s="18" t="s">
        <v>40</v>
      </c>
      <c r="F2" s="19" t="s">
        <v>37</v>
      </c>
      <c r="G2" s="19" t="s">
        <v>38</v>
      </c>
      <c r="H2" s="19" t="s">
        <v>39</v>
      </c>
      <c r="I2" s="19" t="s">
        <v>40</v>
      </c>
      <c r="J2" s="20" t="s">
        <v>37</v>
      </c>
      <c r="K2" s="20" t="s">
        <v>38</v>
      </c>
      <c r="L2" s="20" t="s">
        <v>39</v>
      </c>
      <c r="M2" s="20" t="s">
        <v>40</v>
      </c>
    </row>
    <row r="3" spans="1:18" ht="19.95" customHeight="1" x14ac:dyDescent="0.3">
      <c r="A3" s="9">
        <v>9864</v>
      </c>
      <c r="B3" s="17">
        <v>0.88</v>
      </c>
      <c r="C3" s="17">
        <f>1/B3*1000</f>
        <v>1136.3636363636365</v>
      </c>
      <c r="D3" s="17">
        <v>7.01</v>
      </c>
      <c r="E3" s="17">
        <v>4.6829999999999998</v>
      </c>
      <c r="F3" s="16">
        <v>0.88</v>
      </c>
      <c r="G3" s="16">
        <f>1/F3*1000</f>
        <v>1136.3636363636365</v>
      </c>
      <c r="H3" s="16">
        <v>7.4850000000000003</v>
      </c>
      <c r="I3" s="16">
        <v>4.2119999999999997</v>
      </c>
      <c r="J3" s="15">
        <v>0.88</v>
      </c>
      <c r="K3" s="15">
        <f>1/J3*1000</f>
        <v>1136.3636363636365</v>
      </c>
      <c r="L3" s="15">
        <v>7.5110000000000001</v>
      </c>
      <c r="M3" s="15">
        <v>4.6950000000000003</v>
      </c>
    </row>
    <row r="4" spans="1:18" ht="19.95" customHeight="1" x14ac:dyDescent="0.3">
      <c r="A4" s="9">
        <v>7398</v>
      </c>
      <c r="B4" s="17">
        <v>1.1599999999999999</v>
      </c>
      <c r="C4" s="17">
        <f>1/B4*1000</f>
        <v>862.06896551724139</v>
      </c>
      <c r="D4" s="17">
        <v>6.069</v>
      </c>
      <c r="E4" s="17">
        <v>3.5529999999999999</v>
      </c>
      <c r="F4" s="16">
        <v>1.1599999999999999</v>
      </c>
      <c r="G4" s="16">
        <f>1/F4*1000</f>
        <v>862.06896551724139</v>
      </c>
      <c r="H4" s="16">
        <v>6.71</v>
      </c>
      <c r="I4" s="16">
        <v>3.1549999999999998</v>
      </c>
      <c r="J4" s="15">
        <v>1.1599999999999999</v>
      </c>
      <c r="K4" s="15">
        <f>1/J4*1000</f>
        <v>862.06896551724139</v>
      </c>
      <c r="L4" s="15">
        <v>6.7130000000000001</v>
      </c>
      <c r="M4" s="15">
        <v>3.6040000000000001</v>
      </c>
    </row>
    <row r="5" spans="1:18" ht="19.95" customHeight="1" x14ac:dyDescent="0.3">
      <c r="A5" s="9">
        <v>4932</v>
      </c>
      <c r="B5" s="17">
        <v>1.74</v>
      </c>
      <c r="C5" s="17">
        <f t="shared" ref="C5:C10" si="0">1/B5*1000</f>
        <v>574.71264367816093</v>
      </c>
      <c r="D5" s="17">
        <v>4.9429999999999996</v>
      </c>
      <c r="E5" s="17">
        <v>2.4809999999999999</v>
      </c>
      <c r="F5" s="16">
        <v>1.74</v>
      </c>
      <c r="G5" s="16">
        <f t="shared" ref="G5:G10" si="1">1/F5*1000</f>
        <v>574.71264367816093</v>
      </c>
      <c r="H5" s="16">
        <v>5.5570000000000004</v>
      </c>
      <c r="I5" s="16">
        <v>1.946</v>
      </c>
      <c r="J5" s="15">
        <v>1.74</v>
      </c>
      <c r="K5" s="15">
        <f t="shared" ref="K5:K10" si="2">1/J5*1000</f>
        <v>574.71264367816093</v>
      </c>
      <c r="L5" s="15">
        <v>5.609</v>
      </c>
      <c r="M5" s="15">
        <v>2.4529999999999998</v>
      </c>
    </row>
    <row r="6" spans="1:18" ht="19.95" customHeight="1" x14ac:dyDescent="0.3">
      <c r="A6" s="9">
        <v>2466</v>
      </c>
      <c r="B6" s="17">
        <v>3.5</v>
      </c>
      <c r="C6" s="17">
        <f t="shared" si="0"/>
        <v>285.71428571428572</v>
      </c>
      <c r="D6" s="17">
        <v>3.4950000000000001</v>
      </c>
      <c r="E6" s="17">
        <v>1.3440000000000001</v>
      </c>
      <c r="F6" s="16">
        <v>3.5</v>
      </c>
      <c r="G6" s="16">
        <f t="shared" si="1"/>
        <v>285.71428571428572</v>
      </c>
      <c r="H6" s="16">
        <v>4.0789999999999997</v>
      </c>
      <c r="I6" s="16">
        <v>0.86550000000000005</v>
      </c>
      <c r="J6" s="15">
        <v>3.5</v>
      </c>
      <c r="K6" s="15">
        <f t="shared" si="2"/>
        <v>285.71428571428572</v>
      </c>
      <c r="L6" s="15">
        <v>4.1680000000000001</v>
      </c>
      <c r="M6" s="15">
        <v>1.306</v>
      </c>
    </row>
    <row r="7" spans="1:18" ht="19.95" customHeight="1" x14ac:dyDescent="0.3">
      <c r="A7" s="9">
        <v>-2466</v>
      </c>
      <c r="B7" s="17">
        <v>3.5</v>
      </c>
      <c r="C7" s="17">
        <f t="shared" si="0"/>
        <v>285.71428571428572</v>
      </c>
      <c r="D7" s="17">
        <v>3.4790000000000001</v>
      </c>
      <c r="E7" s="17">
        <v>1.3</v>
      </c>
      <c r="F7" s="16">
        <v>3.5</v>
      </c>
      <c r="G7" s="16">
        <f t="shared" si="1"/>
        <v>285.71428571428572</v>
      </c>
      <c r="H7" s="16">
        <v>4.07</v>
      </c>
      <c r="I7" s="16">
        <v>0.83220000000000005</v>
      </c>
      <c r="J7" s="15">
        <v>3.5</v>
      </c>
      <c r="K7" s="15">
        <f t="shared" si="2"/>
        <v>285.71428571428572</v>
      </c>
      <c r="L7" s="15">
        <v>4.141</v>
      </c>
      <c r="M7" s="15">
        <v>1.29</v>
      </c>
    </row>
    <row r="8" spans="1:18" ht="19.95" customHeight="1" x14ac:dyDescent="0.3">
      <c r="A8" s="9">
        <v>-4932</v>
      </c>
      <c r="B8" s="17">
        <v>1.76</v>
      </c>
      <c r="C8" s="17">
        <f t="shared" si="0"/>
        <v>568.18181818181824</v>
      </c>
      <c r="D8" s="17">
        <v>4.9340000000000002</v>
      </c>
      <c r="E8" s="17">
        <v>2.4569999999999999</v>
      </c>
      <c r="F8" s="16">
        <v>1.76</v>
      </c>
      <c r="G8" s="16">
        <f t="shared" si="1"/>
        <v>568.18181818181824</v>
      </c>
      <c r="H8" s="16">
        <v>5.5730000000000004</v>
      </c>
      <c r="I8" s="16">
        <v>1.966</v>
      </c>
      <c r="J8" s="15">
        <v>1.76</v>
      </c>
      <c r="K8" s="15">
        <f t="shared" si="2"/>
        <v>568.18181818181824</v>
      </c>
      <c r="L8" s="15">
        <v>5.5149999999999997</v>
      </c>
      <c r="M8" s="15">
        <v>2.4649999999999999</v>
      </c>
    </row>
    <row r="9" spans="1:18" ht="19.95" customHeight="1" x14ac:dyDescent="0.3">
      <c r="A9" s="9">
        <v>-7398</v>
      </c>
      <c r="B9" s="17">
        <v>1.1599999999999999</v>
      </c>
      <c r="C9" s="17">
        <f t="shared" si="0"/>
        <v>862.06896551724139</v>
      </c>
      <c r="D9" s="17">
        <v>6.0819999999999999</v>
      </c>
      <c r="E9" s="17">
        <v>3.58</v>
      </c>
      <c r="F9" s="16">
        <v>1.1599999999999999</v>
      </c>
      <c r="G9" s="16">
        <f t="shared" si="1"/>
        <v>862.06896551724139</v>
      </c>
      <c r="H9" s="16">
        <v>6.6920000000000002</v>
      </c>
      <c r="I9" s="16">
        <v>3.1859999999999999</v>
      </c>
      <c r="J9" s="15">
        <v>1.1599999999999999</v>
      </c>
      <c r="K9" s="15">
        <f t="shared" si="2"/>
        <v>862.06896551724139</v>
      </c>
      <c r="L9" s="15">
        <v>6.7039999999999997</v>
      </c>
      <c r="M9" s="15">
        <v>3.5859999999999999</v>
      </c>
    </row>
    <row r="10" spans="1:18" ht="19.95" customHeight="1" x14ac:dyDescent="0.3">
      <c r="A10" s="9">
        <v>-9864</v>
      </c>
      <c r="B10" s="17">
        <v>0.88</v>
      </c>
      <c r="C10" s="17">
        <f t="shared" si="0"/>
        <v>1136.3636363636365</v>
      </c>
      <c r="D10" s="17">
        <v>7.07</v>
      </c>
      <c r="E10" s="17">
        <v>4.6779999999999999</v>
      </c>
      <c r="F10" s="16">
        <v>0.88</v>
      </c>
      <c r="G10" s="16">
        <f t="shared" si="1"/>
        <v>1136.3636363636365</v>
      </c>
      <c r="H10" s="16">
        <v>7.43</v>
      </c>
      <c r="I10" s="16">
        <v>4.2389999999999999</v>
      </c>
      <c r="J10" s="15">
        <v>0.88</v>
      </c>
      <c r="K10" s="15">
        <f t="shared" si="2"/>
        <v>1136.3636363636365</v>
      </c>
      <c r="L10" s="15">
        <v>7.54</v>
      </c>
      <c r="M10" s="15">
        <v>4.7030000000000003</v>
      </c>
    </row>
    <row r="11" spans="1:18" ht="19.95" customHeight="1" x14ac:dyDescent="0.3">
      <c r="G11"/>
      <c r="H11"/>
      <c r="I11"/>
    </row>
    <row r="12" spans="1:18" ht="19.95" customHeight="1" x14ac:dyDescent="0.3">
      <c r="G12" s="35" t="s">
        <v>54</v>
      </c>
      <c r="H12" s="35"/>
      <c r="I12" s="35"/>
      <c r="J12" s="36" t="s">
        <v>56</v>
      </c>
      <c r="K12" s="36"/>
      <c r="L12" s="36"/>
      <c r="M12" s="10"/>
      <c r="N12" s="10"/>
      <c r="O12" s="10"/>
      <c r="P12" s="10"/>
      <c r="Q12" s="10"/>
      <c r="R12" s="10"/>
    </row>
    <row r="13" spans="1:18" ht="19.95" customHeight="1" x14ac:dyDescent="0.3">
      <c r="G13" s="34" t="s">
        <v>55</v>
      </c>
      <c r="H13" s="34"/>
      <c r="I13" s="34"/>
      <c r="J13" s="37" t="s">
        <v>55</v>
      </c>
      <c r="K13" s="37"/>
      <c r="L13" s="37"/>
      <c r="M13"/>
      <c r="N13"/>
      <c r="O13"/>
      <c r="P13"/>
      <c r="Q13" s="10"/>
      <c r="R13" s="10"/>
    </row>
    <row r="14" spans="1:18" ht="19.95" customHeight="1" x14ac:dyDescent="0.3">
      <c r="G14" s="12" t="s">
        <v>34</v>
      </c>
      <c r="H14" s="12" t="s">
        <v>35</v>
      </c>
      <c r="I14" s="12" t="s">
        <v>36</v>
      </c>
      <c r="J14" s="11" t="s">
        <v>34</v>
      </c>
      <c r="K14" s="11" t="s">
        <v>35</v>
      </c>
      <c r="L14" s="11" t="s">
        <v>36</v>
      </c>
      <c r="M14"/>
      <c r="N14"/>
      <c r="O14"/>
      <c r="P14"/>
      <c r="Q14" s="10"/>
      <c r="R14" s="10"/>
    </row>
    <row r="15" spans="1:18" ht="19.95" customHeight="1" x14ac:dyDescent="0.3">
      <c r="G15" s="13">
        <f>(C3*60)/Info!$B$5</f>
        <v>9740.2597402597421</v>
      </c>
      <c r="H15" s="13">
        <f>(G3*60)/Info!$B$5</f>
        <v>9740.2597402597421</v>
      </c>
      <c r="I15" s="13">
        <f>(K3*60)/Info!$B$5</f>
        <v>9740.2597402597421</v>
      </c>
      <c r="J15" s="14">
        <f t="shared" ref="J15:J22" si="3">ABS(A3)-ABS(G15)</f>
        <v>123.7402597402579</v>
      </c>
      <c r="K15" s="14">
        <f t="shared" ref="K15:K22" si="4">ABS(A3)-ABS(H15)</f>
        <v>123.7402597402579</v>
      </c>
      <c r="L15" s="14">
        <f t="shared" ref="L15:L22" si="5">ABS(A3)-ABS(I15)</f>
        <v>123.7402597402579</v>
      </c>
      <c r="M15"/>
      <c r="N15"/>
      <c r="O15"/>
      <c r="P15"/>
      <c r="Q15" s="10"/>
      <c r="R15" s="10"/>
    </row>
    <row r="16" spans="1:18" ht="19.95" customHeight="1" x14ac:dyDescent="0.3">
      <c r="G16" s="13">
        <f>(C4*60)/Info!$B$5</f>
        <v>7389.1625615763551</v>
      </c>
      <c r="H16" s="13">
        <f>(G4*60)/Info!$B$5</f>
        <v>7389.1625615763551</v>
      </c>
      <c r="I16" s="13">
        <f>(K4*60)/Info!$B$5</f>
        <v>7389.1625615763551</v>
      </c>
      <c r="J16" s="14">
        <f t="shared" si="3"/>
        <v>8.8374384236449259</v>
      </c>
      <c r="K16" s="14">
        <f t="shared" si="4"/>
        <v>8.8374384236449259</v>
      </c>
      <c r="L16" s="14">
        <f t="shared" si="5"/>
        <v>8.8374384236449259</v>
      </c>
      <c r="M16"/>
      <c r="N16"/>
      <c r="O16"/>
      <c r="P16"/>
      <c r="Q16" s="10"/>
      <c r="R16" s="10"/>
    </row>
    <row r="17" spans="1:16" ht="19.95" customHeight="1" x14ac:dyDescent="0.3">
      <c r="G17" s="13">
        <f>(C5*60)/Info!$B$5</f>
        <v>4926.1083743842364</v>
      </c>
      <c r="H17" s="13">
        <f>(G5*60)/Info!$B$5</f>
        <v>4926.1083743842364</v>
      </c>
      <c r="I17" s="13">
        <f>(K5*60)/Info!$B$5</f>
        <v>4926.1083743842364</v>
      </c>
      <c r="J17" s="14">
        <f t="shared" si="3"/>
        <v>5.8916256157635871</v>
      </c>
      <c r="K17" s="14">
        <f t="shared" si="4"/>
        <v>5.8916256157635871</v>
      </c>
      <c r="L17" s="14">
        <f t="shared" si="5"/>
        <v>5.8916256157635871</v>
      </c>
      <c r="M17"/>
      <c r="N17"/>
      <c r="O17"/>
      <c r="P17"/>
    </row>
    <row r="18" spans="1:16" ht="19.95" customHeight="1" x14ac:dyDescent="0.3">
      <c r="G18" s="13">
        <f>(C6*60)/Info!$B$5</f>
        <v>2448.9795918367349</v>
      </c>
      <c r="H18" s="13">
        <f>(G6*60)/Info!$B$5</f>
        <v>2448.9795918367349</v>
      </c>
      <c r="I18" s="13">
        <f>(K6*60)/Info!$B$5</f>
        <v>2448.9795918367349</v>
      </c>
      <c r="J18" s="14">
        <f t="shared" si="3"/>
        <v>17.020408163265074</v>
      </c>
      <c r="K18" s="14">
        <f t="shared" si="4"/>
        <v>17.020408163265074</v>
      </c>
      <c r="L18" s="14">
        <f t="shared" si="5"/>
        <v>17.020408163265074</v>
      </c>
      <c r="M18"/>
      <c r="N18"/>
      <c r="O18"/>
      <c r="P18"/>
    </row>
    <row r="19" spans="1:16" ht="19.95" customHeight="1" x14ac:dyDescent="0.3">
      <c r="G19" s="13">
        <f>(C7*60)/Info!$B$5</f>
        <v>2448.9795918367349</v>
      </c>
      <c r="H19" s="13">
        <f>(G7*60)/Info!$B$5</f>
        <v>2448.9795918367349</v>
      </c>
      <c r="I19" s="13">
        <f>(K7*60)/Info!$B$5</f>
        <v>2448.9795918367349</v>
      </c>
      <c r="J19" s="14">
        <f t="shared" si="3"/>
        <v>17.020408163265074</v>
      </c>
      <c r="K19" s="14">
        <f t="shared" si="4"/>
        <v>17.020408163265074</v>
      </c>
      <c r="L19" s="14">
        <f t="shared" si="5"/>
        <v>17.020408163265074</v>
      </c>
      <c r="M19"/>
      <c r="N19"/>
      <c r="O19"/>
      <c r="P19"/>
    </row>
    <row r="20" spans="1:16" ht="19.95" customHeight="1" x14ac:dyDescent="0.3">
      <c r="G20" s="13">
        <f>(C8*60)/Info!$B$5</f>
        <v>4870.1298701298711</v>
      </c>
      <c r="H20" s="13">
        <f>(G8*60)/Info!$B$5</f>
        <v>4870.1298701298711</v>
      </c>
      <c r="I20" s="13">
        <f>(K8*60)/Info!$B$5</f>
        <v>4870.1298701298711</v>
      </c>
      <c r="J20" s="14">
        <f t="shared" si="3"/>
        <v>61.870129870128949</v>
      </c>
      <c r="K20" s="14">
        <f t="shared" si="4"/>
        <v>61.870129870128949</v>
      </c>
      <c r="L20" s="14">
        <f t="shared" si="5"/>
        <v>61.870129870128949</v>
      </c>
      <c r="M20"/>
      <c r="N20"/>
      <c r="O20"/>
      <c r="P20"/>
    </row>
    <row r="21" spans="1:16" ht="19.95" customHeight="1" x14ac:dyDescent="0.3">
      <c r="G21" s="13">
        <f>(C9*60)/Info!$B$5</f>
        <v>7389.1625615763551</v>
      </c>
      <c r="H21" s="13">
        <f>(G9*60)/Info!$B$5</f>
        <v>7389.1625615763551</v>
      </c>
      <c r="I21" s="13">
        <f>(K9*60)/Info!$B$5</f>
        <v>7389.1625615763551</v>
      </c>
      <c r="J21" s="14">
        <f t="shared" si="3"/>
        <v>8.8374384236449259</v>
      </c>
      <c r="K21" s="14">
        <f t="shared" si="4"/>
        <v>8.8374384236449259</v>
      </c>
      <c r="L21" s="14">
        <f t="shared" si="5"/>
        <v>8.8374384236449259</v>
      </c>
      <c r="M21"/>
      <c r="N21"/>
      <c r="O21"/>
      <c r="P21"/>
    </row>
    <row r="22" spans="1:16" ht="19.95" customHeight="1" x14ac:dyDescent="0.3">
      <c r="G22" s="13">
        <f>(C10*60)/Info!$B$5</f>
        <v>9740.2597402597421</v>
      </c>
      <c r="H22" s="13">
        <f>(G10*60)/Info!$B$5</f>
        <v>9740.2597402597421</v>
      </c>
      <c r="I22" s="13">
        <f>(K10*60)/Info!$B$5</f>
        <v>9740.2597402597421</v>
      </c>
      <c r="J22" s="14">
        <f t="shared" si="3"/>
        <v>123.7402597402579</v>
      </c>
      <c r="K22" s="14">
        <f t="shared" si="4"/>
        <v>123.7402597402579</v>
      </c>
      <c r="L22" s="14">
        <f t="shared" si="5"/>
        <v>123.7402597402579</v>
      </c>
      <c r="M22"/>
      <c r="N22"/>
      <c r="O22"/>
      <c r="P22"/>
    </row>
    <row r="23" spans="1:16" ht="19.95" customHeight="1" x14ac:dyDescent="0.3">
      <c r="A23" s="10"/>
      <c r="E23" s="10"/>
      <c r="F23" s="10"/>
      <c r="H23"/>
      <c r="I23"/>
      <c r="J23"/>
      <c r="K23"/>
      <c r="L23"/>
      <c r="M23"/>
      <c r="N23"/>
      <c r="O23"/>
      <c r="P23"/>
    </row>
    <row r="24" spans="1:16" ht="19.95" customHeight="1" x14ac:dyDescent="0.3">
      <c r="A24" s="10"/>
      <c r="E24" s="10"/>
      <c r="F24" s="10"/>
      <c r="H24"/>
      <c r="I24"/>
      <c r="J24"/>
      <c r="K24"/>
      <c r="L24"/>
      <c r="M24"/>
      <c r="N24"/>
      <c r="O24"/>
      <c r="P24"/>
    </row>
    <row r="25" spans="1:16" ht="19.95" customHeight="1" x14ac:dyDescent="0.3">
      <c r="E25" s="10"/>
      <c r="F25" s="10"/>
      <c r="H25"/>
      <c r="I25"/>
      <c r="J25"/>
      <c r="K25"/>
      <c r="L25"/>
      <c r="M25"/>
      <c r="N25"/>
      <c r="O25"/>
      <c r="P25"/>
    </row>
    <row r="26" spans="1:16" ht="19.95" customHeight="1" x14ac:dyDescent="0.3">
      <c r="E26" s="10"/>
      <c r="F26" s="10"/>
    </row>
    <row r="27" spans="1:16" ht="19.95" customHeight="1" x14ac:dyDescent="0.3">
      <c r="E27" s="10"/>
      <c r="F27" s="10"/>
    </row>
    <row r="28" spans="1:16" ht="19.95" customHeight="1" x14ac:dyDescent="0.3">
      <c r="E28" s="10"/>
      <c r="F28" s="10"/>
    </row>
    <row r="29" spans="1:16" ht="19.95" customHeight="1" x14ac:dyDescent="0.3">
      <c r="E29" s="10"/>
      <c r="F29" s="10"/>
    </row>
    <row r="30" spans="1:16" ht="19.95" customHeight="1" x14ac:dyDescent="0.3">
      <c r="E30" s="10"/>
      <c r="F30" s="10"/>
    </row>
  </sheetData>
  <mergeCells count="8">
    <mergeCell ref="J1:M1"/>
    <mergeCell ref="A1:A2"/>
    <mergeCell ref="B1:E1"/>
    <mergeCell ref="G13:I13"/>
    <mergeCell ref="G12:I12"/>
    <mergeCell ref="J12:L12"/>
    <mergeCell ref="J13:L13"/>
    <mergeCell ref="F1:I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To-do</vt:lpstr>
      <vt:lpstr>Info</vt:lpstr>
      <vt:lpstr>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CHAWANAKORN JENKIT</dc:creator>
  <cp:lastModifiedBy>CHAWANAKORN JENKIT</cp:lastModifiedBy>
  <dcterms:created xsi:type="dcterms:W3CDTF">2025-11-08T08:39:39Z</dcterms:created>
  <dcterms:modified xsi:type="dcterms:W3CDTF">2025-12-07T13:29:26Z</dcterms:modified>
</cp:coreProperties>
</file>